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terroza\Desktop\Semestre 9\Implementación de algoritmos\Clase5\"/>
    </mc:Choice>
  </mc:AlternateContent>
  <xr:revisionPtr revIDLastSave="0" documentId="13_ncr:1_{44B0B857-9BA5-4292-95AA-B95E57DA162F}" xr6:coauthVersionLast="47" xr6:coauthVersionMax="47" xr10:uidLastSave="{00000000-0000-0000-0000-000000000000}"/>
  <bookViews>
    <workbookView xWindow="-120" yWindow="-120" windowWidth="20730" windowHeight="11040" xr2:uid="{DC71C581-5426-42AA-BE36-6BEFF96FD4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3" i="1"/>
  <c r="J2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" i="1"/>
  <c r="E5" i="1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6" i="1"/>
  <c r="B7" i="1"/>
  <c r="B8" i="1"/>
  <c r="B9" i="1"/>
  <c r="B10" i="1"/>
  <c r="B11" i="1"/>
  <c r="B5" i="1"/>
</calcChain>
</file>

<file path=xl/sharedStrings.xml><?xml version="1.0" encoding="utf-8"?>
<sst xmlns="http://schemas.openxmlformats.org/spreadsheetml/2006/main" count="13" uniqueCount="13">
  <si>
    <t>ventas</t>
  </si>
  <si>
    <t>pronostico</t>
  </si>
  <si>
    <t>ape</t>
  </si>
  <si>
    <t>ape'</t>
  </si>
  <si>
    <t>error_abs</t>
  </si>
  <si>
    <t>error</t>
  </si>
  <si>
    <t>error cuadrado</t>
  </si>
  <si>
    <t>Medidas de error</t>
  </si>
  <si>
    <t>MAPE</t>
  </si>
  <si>
    <t>MAPE'</t>
  </si>
  <si>
    <t>RMSE</t>
  </si>
  <si>
    <t>MSE</t>
  </si>
  <si>
    <t>N=3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</si>
</sst>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9" fontId="0" fillId="0" borderId="1" xfId="1" applyFont="1" applyBorder="1"/>
    <xf numFmtId="9" fontId="0" fillId="2" borderId="1" xfId="1" applyFont="1" applyFill="1" applyBorder="1"/>
    <xf numFmtId="9" fontId="0" fillId="0" borderId="0" xfId="1" applyFont="1"/>
    <xf numFmtId="0" fontId="0" fillId="2" borderId="1" xfId="0" applyFill="1" applyBorder="1" applyAlignment="1">
      <alignment horizontal="center"/>
    </xf>
    <xf numFmtId="9" fontId="0" fillId="0" borderId="1" xfId="0" applyNumberFormat="1" applyBorder="1"/>
    <xf numFmtId="1" fontId="0" fillId="0" borderId="1" xfId="0" applyNumberFormat="1" applyBorder="1"/>
    <xf numFmtId="0" fontId="0" fillId="3" borderId="1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A025-7F5E-4AD5-8917-E09BE1F0DD2C}">
  <dimension ref="A1:L53"/>
  <sheetViews>
    <sheetView tabSelected="1" workbookViewId="0">
      <selection activeCell="M16" sqref="M16"/>
    </sheetView>
  </sheetViews>
  <sheetFormatPr baseColWidth="10" defaultRowHeight="15" x14ac:dyDescent="0.25"/>
  <cols>
    <col min="1" max="1" width="11.5703125" style="1"/>
    <col min="5" max="5" width="11.42578125" style="8"/>
    <col min="7" max="7" width="14.28515625" customWidth="1"/>
  </cols>
  <sheetData>
    <row r="1" spans="1:12" x14ac:dyDescent="0.25">
      <c r="A1" s="4" t="s">
        <v>0</v>
      </c>
      <c r="B1" s="5" t="s">
        <v>1</v>
      </c>
      <c r="C1" s="5" t="s">
        <v>5</v>
      </c>
      <c r="D1" s="5" t="s">
        <v>4</v>
      </c>
      <c r="E1" s="7" t="s">
        <v>2</v>
      </c>
      <c r="F1" s="5" t="s">
        <v>3</v>
      </c>
      <c r="G1" s="5" t="s">
        <v>6</v>
      </c>
      <c r="I1" s="9" t="s">
        <v>7</v>
      </c>
      <c r="J1" s="9"/>
      <c r="L1" s="12" t="s">
        <v>12</v>
      </c>
    </row>
    <row r="2" spans="1:12" x14ac:dyDescent="0.25">
      <c r="A2" s="2">
        <v>311</v>
      </c>
      <c r="B2" s="3"/>
      <c r="C2" s="3"/>
      <c r="D2" s="3"/>
      <c r="E2" s="6"/>
      <c r="F2" s="3"/>
      <c r="G2" s="3"/>
      <c r="I2" s="3" t="s">
        <v>8</v>
      </c>
      <c r="J2" s="10">
        <f>AVERAGE(E5:E53)</f>
        <v>1.2771298733597127</v>
      </c>
    </row>
    <row r="3" spans="1:12" x14ac:dyDescent="0.25">
      <c r="A3" s="2">
        <v>127</v>
      </c>
      <c r="B3" s="3"/>
      <c r="C3" s="3"/>
      <c r="D3" s="3"/>
      <c r="E3" s="6"/>
      <c r="F3" s="3"/>
      <c r="G3" s="3"/>
      <c r="I3" s="3" t="s">
        <v>9</v>
      </c>
      <c r="J3" s="10">
        <f>AVERAGE(F5:F53)</f>
        <v>0.43793146908468605</v>
      </c>
    </row>
    <row r="4" spans="1:12" x14ac:dyDescent="0.25">
      <c r="A4" s="2">
        <v>369</v>
      </c>
      <c r="B4" s="3"/>
      <c r="C4" s="3"/>
      <c r="D4" s="3"/>
      <c r="E4" s="6"/>
      <c r="F4" s="3"/>
      <c r="G4" s="3"/>
      <c r="I4" s="3" t="s">
        <v>11</v>
      </c>
      <c r="J4" s="11">
        <f>AVERAGE(G5:G53)</f>
        <v>18447.37868480726</v>
      </c>
    </row>
    <row r="5" spans="1:12" x14ac:dyDescent="0.25">
      <c r="A5" s="2">
        <v>19</v>
      </c>
      <c r="B5" s="3">
        <f>AVERAGE(A2:A4)</f>
        <v>269</v>
      </c>
      <c r="C5" s="3">
        <f>A5-B5</f>
        <v>-250</v>
      </c>
      <c r="D5" s="3">
        <f>ABS(C5)</f>
        <v>250</v>
      </c>
      <c r="E5" s="6">
        <f>D5/A5</f>
        <v>13.157894736842104</v>
      </c>
      <c r="F5" s="6">
        <f>D5/B5</f>
        <v>0.92936802973977695</v>
      </c>
      <c r="G5" s="3">
        <f>C5*C5</f>
        <v>62500</v>
      </c>
      <c r="I5" s="3" t="s">
        <v>10</v>
      </c>
      <c r="J5" s="11">
        <f>SQRT(J4)</f>
        <v>135.82112753473689</v>
      </c>
    </row>
    <row r="6" spans="1:12" x14ac:dyDescent="0.25">
      <c r="A6" s="2">
        <v>362</v>
      </c>
      <c r="B6" s="3">
        <f t="shared" ref="B6:B53" si="0">AVERAGE(A3:A5)</f>
        <v>171.66666666666666</v>
      </c>
      <c r="C6" s="3">
        <f t="shared" ref="C6:C53" si="1">A6-B6</f>
        <v>190.33333333333334</v>
      </c>
      <c r="D6" s="3">
        <f t="shared" ref="D6:D53" si="2">ABS(C6)</f>
        <v>190.33333333333334</v>
      </c>
      <c r="E6" s="6">
        <f t="shared" ref="E6:E53" si="3">D6/A6</f>
        <v>0.52578268876611423</v>
      </c>
      <c r="F6" s="6">
        <f t="shared" ref="F6:F53" si="4">D6/B6</f>
        <v>1.1087378640776699</v>
      </c>
      <c r="G6" s="3">
        <f t="shared" ref="G6:G53" si="5">C6*C6</f>
        <v>36226.777777777781</v>
      </c>
    </row>
    <row r="7" spans="1:12" x14ac:dyDescent="0.25">
      <c r="A7" s="2">
        <v>134</v>
      </c>
      <c r="B7" s="3">
        <f t="shared" si="0"/>
        <v>250</v>
      </c>
      <c r="C7" s="3">
        <f t="shared" si="1"/>
        <v>-116</v>
      </c>
      <c r="D7" s="3">
        <f t="shared" si="2"/>
        <v>116</v>
      </c>
      <c r="E7" s="6">
        <f t="shared" si="3"/>
        <v>0.86567164179104472</v>
      </c>
      <c r="F7" s="6">
        <f t="shared" si="4"/>
        <v>0.46400000000000002</v>
      </c>
      <c r="G7" s="3">
        <f t="shared" si="5"/>
        <v>13456</v>
      </c>
    </row>
    <row r="8" spans="1:12" x14ac:dyDescent="0.25">
      <c r="A8" s="2">
        <v>419</v>
      </c>
      <c r="B8" s="3">
        <f t="shared" si="0"/>
        <v>171.66666666666666</v>
      </c>
      <c r="C8" s="3">
        <f t="shared" si="1"/>
        <v>247.33333333333334</v>
      </c>
      <c r="D8" s="3">
        <f t="shared" si="2"/>
        <v>247.33333333333334</v>
      </c>
      <c r="E8" s="6">
        <f t="shared" si="3"/>
        <v>0.59029435163086719</v>
      </c>
      <c r="F8" s="6">
        <f t="shared" si="4"/>
        <v>1.4407766990291264</v>
      </c>
      <c r="G8" s="3">
        <f t="shared" si="5"/>
        <v>61173.777777777781</v>
      </c>
    </row>
    <row r="9" spans="1:12" x14ac:dyDescent="0.25">
      <c r="A9" s="2">
        <v>339</v>
      </c>
      <c r="B9" s="3">
        <f t="shared" si="0"/>
        <v>305</v>
      </c>
      <c r="C9" s="3">
        <f t="shared" si="1"/>
        <v>34</v>
      </c>
      <c r="D9" s="3">
        <f t="shared" si="2"/>
        <v>34</v>
      </c>
      <c r="E9" s="6">
        <f t="shared" si="3"/>
        <v>0.10029498525073746</v>
      </c>
      <c r="F9" s="6">
        <f t="shared" si="4"/>
        <v>0.11147540983606558</v>
      </c>
      <c r="G9" s="3">
        <f t="shared" si="5"/>
        <v>1156</v>
      </c>
    </row>
    <row r="10" spans="1:12" x14ac:dyDescent="0.25">
      <c r="A10" s="2">
        <v>393</v>
      </c>
      <c r="B10" s="3">
        <f t="shared" si="0"/>
        <v>297.33333333333331</v>
      </c>
      <c r="C10" s="3">
        <f t="shared" si="1"/>
        <v>95.666666666666686</v>
      </c>
      <c r="D10" s="3">
        <f t="shared" si="2"/>
        <v>95.666666666666686</v>
      </c>
      <c r="E10" s="6">
        <f t="shared" si="3"/>
        <v>0.24342663273960988</v>
      </c>
      <c r="F10" s="6">
        <f t="shared" si="4"/>
        <v>0.32174887892376691</v>
      </c>
      <c r="G10" s="3">
        <f t="shared" si="5"/>
        <v>9152.111111111115</v>
      </c>
    </row>
    <row r="11" spans="1:12" x14ac:dyDescent="0.25">
      <c r="A11" s="2">
        <v>403</v>
      </c>
      <c r="B11" s="3">
        <f t="shared" si="0"/>
        <v>383.66666666666669</v>
      </c>
      <c r="C11" s="3">
        <f t="shared" si="1"/>
        <v>19.333333333333314</v>
      </c>
      <c r="D11" s="3">
        <f t="shared" si="2"/>
        <v>19.333333333333314</v>
      </c>
      <c r="E11" s="6">
        <f t="shared" si="3"/>
        <v>4.797353184449954E-2</v>
      </c>
      <c r="F11" s="6">
        <f t="shared" si="4"/>
        <v>5.0390964378800994E-2</v>
      </c>
      <c r="G11" s="3">
        <f t="shared" si="5"/>
        <v>373.77777777777703</v>
      </c>
    </row>
    <row r="12" spans="1:12" x14ac:dyDescent="0.25">
      <c r="A12" s="2">
        <v>311</v>
      </c>
      <c r="B12" s="3">
        <f t="shared" si="0"/>
        <v>378.33333333333331</v>
      </c>
      <c r="C12" s="3">
        <f t="shared" si="1"/>
        <v>-67.333333333333314</v>
      </c>
      <c r="D12" s="3">
        <f t="shared" si="2"/>
        <v>67.333333333333314</v>
      </c>
      <c r="E12" s="6">
        <f t="shared" si="3"/>
        <v>0.21650589496248654</v>
      </c>
      <c r="F12" s="6">
        <f t="shared" si="4"/>
        <v>0.17797356828193828</v>
      </c>
      <c r="G12" s="3">
        <f t="shared" si="5"/>
        <v>4533.7777777777756</v>
      </c>
    </row>
    <row r="13" spans="1:12" x14ac:dyDescent="0.25">
      <c r="A13" s="2">
        <v>311</v>
      </c>
      <c r="B13" s="3">
        <f t="shared" si="0"/>
        <v>369</v>
      </c>
      <c r="C13" s="3">
        <f t="shared" si="1"/>
        <v>-58</v>
      </c>
      <c r="D13" s="3">
        <f t="shared" si="2"/>
        <v>58</v>
      </c>
      <c r="E13" s="6">
        <f t="shared" si="3"/>
        <v>0.18649517684887459</v>
      </c>
      <c r="F13" s="6">
        <f t="shared" si="4"/>
        <v>0.15718157181571815</v>
      </c>
      <c r="G13" s="3">
        <f t="shared" si="5"/>
        <v>3364</v>
      </c>
    </row>
    <row r="14" spans="1:12" x14ac:dyDescent="0.25">
      <c r="A14" s="2">
        <v>457</v>
      </c>
      <c r="B14" s="3">
        <f t="shared" si="0"/>
        <v>341.66666666666669</v>
      </c>
      <c r="C14" s="3">
        <f t="shared" si="1"/>
        <v>115.33333333333331</v>
      </c>
      <c r="D14" s="3">
        <f t="shared" si="2"/>
        <v>115.33333333333331</v>
      </c>
      <c r="E14" s="6">
        <f t="shared" si="3"/>
        <v>0.25237053245805979</v>
      </c>
      <c r="F14" s="6">
        <f t="shared" si="4"/>
        <v>0.33756097560975601</v>
      </c>
      <c r="G14" s="3">
        <f t="shared" si="5"/>
        <v>13301.777777777774</v>
      </c>
    </row>
    <row r="15" spans="1:12" x14ac:dyDescent="0.25">
      <c r="A15" s="2">
        <v>186</v>
      </c>
      <c r="B15" s="3">
        <f t="shared" si="0"/>
        <v>359.66666666666669</v>
      </c>
      <c r="C15" s="3">
        <f t="shared" si="1"/>
        <v>-173.66666666666669</v>
      </c>
      <c r="D15" s="3">
        <f t="shared" si="2"/>
        <v>173.66666666666669</v>
      </c>
      <c r="E15" s="6">
        <f t="shared" si="3"/>
        <v>0.93369175627240153</v>
      </c>
      <c r="F15" s="6">
        <f t="shared" si="4"/>
        <v>0.48285449490268773</v>
      </c>
      <c r="G15" s="3">
        <f t="shared" si="5"/>
        <v>30160.111111111117</v>
      </c>
    </row>
    <row r="16" spans="1:12" x14ac:dyDescent="0.25">
      <c r="A16" s="2">
        <v>197</v>
      </c>
      <c r="B16" s="3">
        <f t="shared" si="0"/>
        <v>318</v>
      </c>
      <c r="C16" s="3">
        <f t="shared" si="1"/>
        <v>-121</v>
      </c>
      <c r="D16" s="3">
        <f t="shared" si="2"/>
        <v>121</v>
      </c>
      <c r="E16" s="6">
        <f t="shared" si="3"/>
        <v>0.6142131979695431</v>
      </c>
      <c r="F16" s="6">
        <f t="shared" si="4"/>
        <v>0.38050314465408808</v>
      </c>
      <c r="G16" s="3">
        <f t="shared" si="5"/>
        <v>14641</v>
      </c>
    </row>
    <row r="17" spans="1:7" x14ac:dyDescent="0.25">
      <c r="A17" s="2">
        <v>369</v>
      </c>
      <c r="B17" s="3">
        <f t="shared" si="0"/>
        <v>280</v>
      </c>
      <c r="C17" s="3">
        <f t="shared" si="1"/>
        <v>89</v>
      </c>
      <c r="D17" s="3">
        <f t="shared" si="2"/>
        <v>89</v>
      </c>
      <c r="E17" s="6">
        <f t="shared" si="3"/>
        <v>0.24119241192411925</v>
      </c>
      <c r="F17" s="6">
        <f t="shared" si="4"/>
        <v>0.31785714285714284</v>
      </c>
      <c r="G17" s="3">
        <f t="shared" si="5"/>
        <v>7921</v>
      </c>
    </row>
    <row r="18" spans="1:7" x14ac:dyDescent="0.25">
      <c r="A18" s="2">
        <v>336</v>
      </c>
      <c r="B18" s="3">
        <f t="shared" si="0"/>
        <v>250.66666666666666</v>
      </c>
      <c r="C18" s="3">
        <f t="shared" si="1"/>
        <v>85.333333333333343</v>
      </c>
      <c r="D18" s="3">
        <f t="shared" si="2"/>
        <v>85.333333333333343</v>
      </c>
      <c r="E18" s="6">
        <f t="shared" si="3"/>
        <v>0.25396825396825401</v>
      </c>
      <c r="F18" s="6">
        <f t="shared" si="4"/>
        <v>0.34042553191489366</v>
      </c>
      <c r="G18" s="3">
        <f t="shared" si="5"/>
        <v>7281.7777777777792</v>
      </c>
    </row>
    <row r="19" spans="1:7" x14ac:dyDescent="0.25">
      <c r="A19" s="2">
        <v>353</v>
      </c>
      <c r="B19" s="3">
        <f t="shared" si="0"/>
        <v>300.66666666666669</v>
      </c>
      <c r="C19" s="3">
        <f t="shared" si="1"/>
        <v>52.333333333333314</v>
      </c>
      <c r="D19" s="3">
        <f t="shared" si="2"/>
        <v>52.333333333333314</v>
      </c>
      <c r="E19" s="6">
        <f t="shared" si="3"/>
        <v>0.14825306893295556</v>
      </c>
      <c r="F19" s="6">
        <f t="shared" si="4"/>
        <v>0.17405764966740569</v>
      </c>
      <c r="G19" s="3">
        <f t="shared" si="5"/>
        <v>2738.777777777776</v>
      </c>
    </row>
    <row r="20" spans="1:7" x14ac:dyDescent="0.25">
      <c r="A20" s="2">
        <v>197</v>
      </c>
      <c r="B20" s="3">
        <f t="shared" si="0"/>
        <v>352.66666666666669</v>
      </c>
      <c r="C20" s="3">
        <f t="shared" si="1"/>
        <v>-155.66666666666669</v>
      </c>
      <c r="D20" s="3">
        <f t="shared" si="2"/>
        <v>155.66666666666669</v>
      </c>
      <c r="E20" s="6">
        <f t="shared" si="3"/>
        <v>0.790186125211506</v>
      </c>
      <c r="F20" s="6">
        <f t="shared" si="4"/>
        <v>0.44139886578449911</v>
      </c>
      <c r="G20" s="3">
        <f t="shared" si="5"/>
        <v>24232.111111111117</v>
      </c>
    </row>
    <row r="21" spans="1:7" x14ac:dyDescent="0.25">
      <c r="A21" s="2">
        <v>289</v>
      </c>
      <c r="B21" s="3">
        <f t="shared" si="0"/>
        <v>295.33333333333331</v>
      </c>
      <c r="C21" s="3">
        <f t="shared" si="1"/>
        <v>-6.3333333333333144</v>
      </c>
      <c r="D21" s="3">
        <f t="shared" si="2"/>
        <v>6.3333333333333144</v>
      </c>
      <c r="E21" s="6">
        <f t="shared" si="3"/>
        <v>2.1914648212226003E-2</v>
      </c>
      <c r="F21" s="6">
        <f t="shared" si="4"/>
        <v>2.1444695259593617E-2</v>
      </c>
      <c r="G21" s="3">
        <f t="shared" si="5"/>
        <v>40.111111111110873</v>
      </c>
    </row>
    <row r="22" spans="1:7" x14ac:dyDescent="0.25">
      <c r="A22" s="2">
        <v>303</v>
      </c>
      <c r="B22" s="3">
        <f t="shared" si="0"/>
        <v>279.66666666666669</v>
      </c>
      <c r="C22" s="3">
        <f t="shared" si="1"/>
        <v>23.333333333333314</v>
      </c>
      <c r="D22" s="3">
        <f t="shared" si="2"/>
        <v>23.333333333333314</v>
      </c>
      <c r="E22" s="6">
        <f t="shared" si="3"/>
        <v>7.7007700770076945E-2</v>
      </c>
      <c r="F22" s="6">
        <f t="shared" si="4"/>
        <v>8.3432657926102424E-2</v>
      </c>
      <c r="G22" s="3">
        <f t="shared" si="5"/>
        <v>544.44444444444355</v>
      </c>
    </row>
    <row r="23" spans="1:7" x14ac:dyDescent="0.25">
      <c r="A23" s="2">
        <v>419</v>
      </c>
      <c r="B23" s="3">
        <f t="shared" si="0"/>
        <v>263</v>
      </c>
      <c r="C23" s="3">
        <f t="shared" si="1"/>
        <v>156</v>
      </c>
      <c r="D23" s="3">
        <f t="shared" si="2"/>
        <v>156</v>
      </c>
      <c r="E23" s="6">
        <f t="shared" si="3"/>
        <v>0.37231503579952269</v>
      </c>
      <c r="F23" s="6">
        <f t="shared" si="4"/>
        <v>0.59315589353612164</v>
      </c>
      <c r="G23" s="3">
        <f t="shared" si="5"/>
        <v>24336</v>
      </c>
    </row>
    <row r="24" spans="1:7" x14ac:dyDescent="0.25">
      <c r="A24" s="2">
        <v>65</v>
      </c>
      <c r="B24" s="3">
        <f t="shared" si="0"/>
        <v>337</v>
      </c>
      <c r="C24" s="3">
        <f t="shared" si="1"/>
        <v>-272</v>
      </c>
      <c r="D24" s="3">
        <f t="shared" si="2"/>
        <v>272</v>
      </c>
      <c r="E24" s="6">
        <f t="shared" si="3"/>
        <v>4.1846153846153848</v>
      </c>
      <c r="F24" s="6">
        <f t="shared" si="4"/>
        <v>0.80712166172106825</v>
      </c>
      <c r="G24" s="3">
        <f t="shared" si="5"/>
        <v>73984</v>
      </c>
    </row>
    <row r="25" spans="1:7" x14ac:dyDescent="0.25">
      <c r="A25" s="2">
        <v>430</v>
      </c>
      <c r="B25" s="3">
        <f t="shared" si="0"/>
        <v>262.33333333333331</v>
      </c>
      <c r="C25" s="3">
        <f t="shared" si="1"/>
        <v>167.66666666666669</v>
      </c>
      <c r="D25" s="3">
        <f t="shared" si="2"/>
        <v>167.66666666666669</v>
      </c>
      <c r="E25" s="6">
        <f t="shared" si="3"/>
        <v>0.38992248062015511</v>
      </c>
      <c r="F25" s="6">
        <f t="shared" si="4"/>
        <v>0.63913595933926315</v>
      </c>
      <c r="G25" s="3">
        <f t="shared" si="5"/>
        <v>28112.111111111117</v>
      </c>
    </row>
    <row r="26" spans="1:7" x14ac:dyDescent="0.25">
      <c r="A26" s="2">
        <v>437</v>
      </c>
      <c r="B26" s="3">
        <f t="shared" si="0"/>
        <v>304.66666666666669</v>
      </c>
      <c r="C26" s="3">
        <f t="shared" si="1"/>
        <v>132.33333333333331</v>
      </c>
      <c r="D26" s="3">
        <f t="shared" si="2"/>
        <v>132.33333333333331</v>
      </c>
      <c r="E26" s="6">
        <f t="shared" si="3"/>
        <v>0.30282227307398929</v>
      </c>
      <c r="F26" s="6">
        <f t="shared" si="4"/>
        <v>0.43435448577680519</v>
      </c>
      <c r="G26" s="3">
        <f t="shared" si="5"/>
        <v>17512.111111111106</v>
      </c>
    </row>
    <row r="27" spans="1:7" x14ac:dyDescent="0.25">
      <c r="A27" s="2">
        <v>389</v>
      </c>
      <c r="B27" s="3">
        <f t="shared" si="0"/>
        <v>310.66666666666669</v>
      </c>
      <c r="C27" s="3">
        <f t="shared" si="1"/>
        <v>78.333333333333314</v>
      </c>
      <c r="D27" s="3">
        <f t="shared" si="2"/>
        <v>78.333333333333314</v>
      </c>
      <c r="E27" s="6">
        <f t="shared" si="3"/>
        <v>0.2013710368466152</v>
      </c>
      <c r="F27" s="6">
        <f t="shared" si="4"/>
        <v>0.25214592274678105</v>
      </c>
      <c r="G27" s="3">
        <f t="shared" si="5"/>
        <v>6136.1111111111086</v>
      </c>
    </row>
    <row r="28" spans="1:7" x14ac:dyDescent="0.25">
      <c r="A28" s="2">
        <v>344</v>
      </c>
      <c r="B28" s="3">
        <f t="shared" si="0"/>
        <v>418.66666666666669</v>
      </c>
      <c r="C28" s="3">
        <f t="shared" si="1"/>
        <v>-74.666666666666686</v>
      </c>
      <c r="D28" s="3">
        <f t="shared" si="2"/>
        <v>74.666666666666686</v>
      </c>
      <c r="E28" s="6">
        <f t="shared" si="3"/>
        <v>0.21705426356589153</v>
      </c>
      <c r="F28" s="6">
        <f t="shared" si="4"/>
        <v>0.17834394904458603</v>
      </c>
      <c r="G28" s="3">
        <f t="shared" si="5"/>
        <v>5575.111111111114</v>
      </c>
    </row>
    <row r="29" spans="1:7" x14ac:dyDescent="0.25">
      <c r="A29" s="2">
        <v>324</v>
      </c>
      <c r="B29" s="3">
        <f t="shared" si="0"/>
        <v>390</v>
      </c>
      <c r="C29" s="3">
        <f t="shared" si="1"/>
        <v>-66</v>
      </c>
      <c r="D29" s="3">
        <f t="shared" si="2"/>
        <v>66</v>
      </c>
      <c r="E29" s="6">
        <f t="shared" si="3"/>
        <v>0.20370370370370369</v>
      </c>
      <c r="F29" s="6">
        <f t="shared" si="4"/>
        <v>0.16923076923076924</v>
      </c>
      <c r="G29" s="3">
        <f t="shared" si="5"/>
        <v>4356</v>
      </c>
    </row>
    <row r="30" spans="1:7" x14ac:dyDescent="0.25">
      <c r="A30" s="2">
        <v>117</v>
      </c>
      <c r="B30" s="3">
        <f t="shared" si="0"/>
        <v>352.33333333333331</v>
      </c>
      <c r="C30" s="3">
        <f t="shared" si="1"/>
        <v>-235.33333333333331</v>
      </c>
      <c r="D30" s="3">
        <f t="shared" si="2"/>
        <v>235.33333333333331</v>
      </c>
      <c r="E30" s="6">
        <f t="shared" si="3"/>
        <v>2.0113960113960112</v>
      </c>
      <c r="F30" s="6">
        <f t="shared" si="4"/>
        <v>0.66792809839167455</v>
      </c>
      <c r="G30" s="3">
        <f t="shared" si="5"/>
        <v>55381.777777777766</v>
      </c>
    </row>
    <row r="31" spans="1:7" x14ac:dyDescent="0.25">
      <c r="A31" s="2">
        <v>191</v>
      </c>
      <c r="B31" s="3">
        <f t="shared" si="0"/>
        <v>261.66666666666669</v>
      </c>
      <c r="C31" s="3">
        <f t="shared" si="1"/>
        <v>-70.666666666666686</v>
      </c>
      <c r="D31" s="3">
        <f t="shared" si="2"/>
        <v>70.666666666666686</v>
      </c>
      <c r="E31" s="6">
        <f t="shared" si="3"/>
        <v>0.36998254799301927</v>
      </c>
      <c r="F31" s="6">
        <f t="shared" si="4"/>
        <v>0.27006369426751597</v>
      </c>
      <c r="G31" s="3">
        <f t="shared" si="5"/>
        <v>4993.7777777777801</v>
      </c>
    </row>
    <row r="32" spans="1:7" x14ac:dyDescent="0.25">
      <c r="A32" s="2">
        <v>348</v>
      </c>
      <c r="B32" s="3">
        <f t="shared" si="0"/>
        <v>210.66666666666666</v>
      </c>
      <c r="C32" s="3">
        <f t="shared" si="1"/>
        <v>137.33333333333334</v>
      </c>
      <c r="D32" s="3">
        <f t="shared" si="2"/>
        <v>137.33333333333334</v>
      </c>
      <c r="E32" s="6">
        <f t="shared" si="3"/>
        <v>0.39463601532567055</v>
      </c>
      <c r="F32" s="6">
        <f t="shared" si="4"/>
        <v>0.65189873417721522</v>
      </c>
      <c r="G32" s="3">
        <f t="shared" si="5"/>
        <v>18860.444444444445</v>
      </c>
    </row>
    <row r="33" spans="1:7" x14ac:dyDescent="0.25">
      <c r="A33" s="2">
        <v>388</v>
      </c>
      <c r="B33" s="3">
        <f t="shared" si="0"/>
        <v>218.66666666666666</v>
      </c>
      <c r="C33" s="3">
        <f t="shared" si="1"/>
        <v>169.33333333333334</v>
      </c>
      <c r="D33" s="3">
        <f t="shared" si="2"/>
        <v>169.33333333333334</v>
      </c>
      <c r="E33" s="6">
        <f t="shared" si="3"/>
        <v>0.43642611683848798</v>
      </c>
      <c r="F33" s="6">
        <f t="shared" si="4"/>
        <v>0.77439024390243905</v>
      </c>
      <c r="G33" s="3">
        <f t="shared" si="5"/>
        <v>28673.777777777781</v>
      </c>
    </row>
    <row r="34" spans="1:7" x14ac:dyDescent="0.25">
      <c r="A34" s="2">
        <v>125</v>
      </c>
      <c r="B34" s="3">
        <f t="shared" si="0"/>
        <v>309</v>
      </c>
      <c r="C34" s="3">
        <f t="shared" si="1"/>
        <v>-184</v>
      </c>
      <c r="D34" s="3">
        <f t="shared" si="2"/>
        <v>184</v>
      </c>
      <c r="E34" s="6">
        <f t="shared" si="3"/>
        <v>1.472</v>
      </c>
      <c r="F34" s="6">
        <f t="shared" si="4"/>
        <v>0.59546925566343045</v>
      </c>
      <c r="G34" s="3">
        <f t="shared" si="5"/>
        <v>33856</v>
      </c>
    </row>
    <row r="35" spans="1:7" x14ac:dyDescent="0.25">
      <c r="A35" s="2">
        <v>234</v>
      </c>
      <c r="B35" s="3">
        <f t="shared" si="0"/>
        <v>287</v>
      </c>
      <c r="C35" s="3">
        <f t="shared" si="1"/>
        <v>-53</v>
      </c>
      <c r="D35" s="3">
        <f t="shared" si="2"/>
        <v>53</v>
      </c>
      <c r="E35" s="6">
        <f t="shared" si="3"/>
        <v>0.2264957264957265</v>
      </c>
      <c r="F35" s="6">
        <f t="shared" si="4"/>
        <v>0.18466898954703834</v>
      </c>
      <c r="G35" s="3">
        <f t="shared" si="5"/>
        <v>2809</v>
      </c>
    </row>
    <row r="36" spans="1:7" x14ac:dyDescent="0.25">
      <c r="A36" s="2">
        <v>290</v>
      </c>
      <c r="B36" s="3">
        <f t="shared" si="0"/>
        <v>249</v>
      </c>
      <c r="C36" s="3">
        <f t="shared" si="1"/>
        <v>41</v>
      </c>
      <c r="D36" s="3">
        <f t="shared" si="2"/>
        <v>41</v>
      </c>
      <c r="E36" s="6">
        <f t="shared" si="3"/>
        <v>0.14137931034482759</v>
      </c>
      <c r="F36" s="6">
        <f t="shared" si="4"/>
        <v>0.1646586345381526</v>
      </c>
      <c r="G36" s="3">
        <f t="shared" si="5"/>
        <v>1681</v>
      </c>
    </row>
    <row r="37" spans="1:7" x14ac:dyDescent="0.25">
      <c r="A37" s="2">
        <v>134</v>
      </c>
      <c r="B37" s="3">
        <f t="shared" si="0"/>
        <v>216.33333333333334</v>
      </c>
      <c r="C37" s="3">
        <f t="shared" si="1"/>
        <v>-82.333333333333343</v>
      </c>
      <c r="D37" s="3">
        <f t="shared" si="2"/>
        <v>82.333333333333343</v>
      </c>
      <c r="E37" s="6">
        <f t="shared" si="3"/>
        <v>0.61442786069651745</v>
      </c>
      <c r="F37" s="6">
        <f t="shared" si="4"/>
        <v>0.38058551617873654</v>
      </c>
      <c r="G37" s="3">
        <f t="shared" si="5"/>
        <v>6778.7777777777792</v>
      </c>
    </row>
    <row r="38" spans="1:7" x14ac:dyDescent="0.25">
      <c r="A38" s="2">
        <v>308</v>
      </c>
      <c r="B38" s="3">
        <f t="shared" si="0"/>
        <v>219.33333333333334</v>
      </c>
      <c r="C38" s="3">
        <f t="shared" si="1"/>
        <v>88.666666666666657</v>
      </c>
      <c r="D38" s="3">
        <f t="shared" si="2"/>
        <v>88.666666666666657</v>
      </c>
      <c r="E38" s="6">
        <f t="shared" si="3"/>
        <v>0.28787878787878785</v>
      </c>
      <c r="F38" s="6">
        <f t="shared" si="4"/>
        <v>0.40425531914893609</v>
      </c>
      <c r="G38" s="3">
        <f t="shared" si="5"/>
        <v>7861.7777777777765</v>
      </c>
    </row>
    <row r="39" spans="1:7" x14ac:dyDescent="0.25">
      <c r="A39" s="2">
        <v>415</v>
      </c>
      <c r="B39" s="3">
        <f t="shared" si="0"/>
        <v>244</v>
      </c>
      <c r="C39" s="3">
        <f t="shared" si="1"/>
        <v>171</v>
      </c>
      <c r="D39" s="3">
        <f t="shared" si="2"/>
        <v>171</v>
      </c>
      <c r="E39" s="6">
        <f t="shared" si="3"/>
        <v>0.41204819277108434</v>
      </c>
      <c r="F39" s="6">
        <f t="shared" si="4"/>
        <v>0.70081967213114749</v>
      </c>
      <c r="G39" s="3">
        <f t="shared" si="5"/>
        <v>29241</v>
      </c>
    </row>
    <row r="40" spans="1:7" x14ac:dyDescent="0.25">
      <c r="A40" s="2">
        <v>211</v>
      </c>
      <c r="B40" s="3">
        <f t="shared" si="0"/>
        <v>285.66666666666669</v>
      </c>
      <c r="C40" s="3">
        <f t="shared" si="1"/>
        <v>-74.666666666666686</v>
      </c>
      <c r="D40" s="3">
        <f t="shared" si="2"/>
        <v>74.666666666666686</v>
      </c>
      <c r="E40" s="6">
        <f t="shared" si="3"/>
        <v>0.35387045813586104</v>
      </c>
      <c r="F40" s="6">
        <f t="shared" si="4"/>
        <v>0.26137689614935827</v>
      </c>
      <c r="G40" s="3">
        <f t="shared" si="5"/>
        <v>5575.111111111114</v>
      </c>
    </row>
    <row r="41" spans="1:7" x14ac:dyDescent="0.25">
      <c r="A41" s="2">
        <v>276</v>
      </c>
      <c r="B41" s="3">
        <f t="shared" si="0"/>
        <v>311.33333333333331</v>
      </c>
      <c r="C41" s="3">
        <f t="shared" si="1"/>
        <v>-35.333333333333314</v>
      </c>
      <c r="D41" s="3">
        <f t="shared" si="2"/>
        <v>35.333333333333314</v>
      </c>
      <c r="E41" s="6">
        <f t="shared" si="3"/>
        <v>0.12801932367149751</v>
      </c>
      <c r="F41" s="6">
        <f t="shared" si="4"/>
        <v>0.11349036402569587</v>
      </c>
      <c r="G41" s="3">
        <f t="shared" si="5"/>
        <v>1248.4444444444432</v>
      </c>
    </row>
    <row r="42" spans="1:7" x14ac:dyDescent="0.25">
      <c r="A42" s="2">
        <v>363</v>
      </c>
      <c r="B42" s="3">
        <f t="shared" si="0"/>
        <v>300.66666666666669</v>
      </c>
      <c r="C42" s="3">
        <f t="shared" si="1"/>
        <v>62.333333333333314</v>
      </c>
      <c r="D42" s="3">
        <f t="shared" si="2"/>
        <v>62.333333333333314</v>
      </c>
      <c r="E42" s="6">
        <f t="shared" si="3"/>
        <v>0.17171717171717166</v>
      </c>
      <c r="F42" s="6">
        <f t="shared" si="4"/>
        <v>0.20731707317073164</v>
      </c>
      <c r="G42" s="3">
        <f t="shared" si="5"/>
        <v>3885.4444444444421</v>
      </c>
    </row>
    <row r="43" spans="1:7" x14ac:dyDescent="0.25">
      <c r="A43" s="2">
        <v>238</v>
      </c>
      <c r="B43" s="3">
        <f t="shared" si="0"/>
        <v>283.33333333333331</v>
      </c>
      <c r="C43" s="3">
        <f t="shared" si="1"/>
        <v>-45.333333333333314</v>
      </c>
      <c r="D43" s="3">
        <f t="shared" si="2"/>
        <v>45.333333333333314</v>
      </c>
      <c r="E43" s="6">
        <f t="shared" si="3"/>
        <v>0.19047619047619041</v>
      </c>
      <c r="F43" s="6">
        <f t="shared" si="4"/>
        <v>0.15999999999999995</v>
      </c>
      <c r="G43" s="3">
        <f t="shared" si="5"/>
        <v>2055.1111111111095</v>
      </c>
    </row>
    <row r="44" spans="1:7" x14ac:dyDescent="0.25">
      <c r="A44" s="2">
        <v>158</v>
      </c>
      <c r="B44" s="3">
        <f t="shared" si="0"/>
        <v>292.33333333333331</v>
      </c>
      <c r="C44" s="3">
        <f t="shared" si="1"/>
        <v>-134.33333333333331</v>
      </c>
      <c r="D44" s="3">
        <f t="shared" si="2"/>
        <v>134.33333333333331</v>
      </c>
      <c r="E44" s="6">
        <f t="shared" si="3"/>
        <v>0.85021097046413485</v>
      </c>
      <c r="F44" s="6">
        <f t="shared" si="4"/>
        <v>0.45952109464082097</v>
      </c>
      <c r="G44" s="3">
        <f t="shared" si="5"/>
        <v>18045.444444444438</v>
      </c>
    </row>
    <row r="45" spans="1:7" x14ac:dyDescent="0.25">
      <c r="A45" s="2">
        <v>331</v>
      </c>
      <c r="B45" s="3">
        <f t="shared" si="0"/>
        <v>253</v>
      </c>
      <c r="C45" s="3">
        <f t="shared" si="1"/>
        <v>78</v>
      </c>
      <c r="D45" s="3">
        <f t="shared" si="2"/>
        <v>78</v>
      </c>
      <c r="E45" s="6">
        <f t="shared" si="3"/>
        <v>0.23564954682779457</v>
      </c>
      <c r="F45" s="6">
        <f t="shared" si="4"/>
        <v>0.30830039525691699</v>
      </c>
      <c r="G45" s="3">
        <f t="shared" si="5"/>
        <v>6084</v>
      </c>
    </row>
    <row r="46" spans="1:7" x14ac:dyDescent="0.25">
      <c r="A46" s="2">
        <v>324</v>
      </c>
      <c r="B46" s="3">
        <f t="shared" si="0"/>
        <v>242.33333333333334</v>
      </c>
      <c r="C46" s="3">
        <f t="shared" si="1"/>
        <v>81.666666666666657</v>
      </c>
      <c r="D46" s="3">
        <f t="shared" si="2"/>
        <v>81.666666666666657</v>
      </c>
      <c r="E46" s="6">
        <f t="shared" si="3"/>
        <v>0.25205761316872427</v>
      </c>
      <c r="F46" s="6">
        <f t="shared" si="4"/>
        <v>0.33700137551581838</v>
      </c>
      <c r="G46" s="3">
        <f t="shared" si="5"/>
        <v>6669.4444444444425</v>
      </c>
    </row>
    <row r="47" spans="1:7" x14ac:dyDescent="0.25">
      <c r="A47" s="2">
        <v>20</v>
      </c>
      <c r="B47" s="3">
        <f t="shared" si="0"/>
        <v>271</v>
      </c>
      <c r="C47" s="3">
        <f t="shared" si="1"/>
        <v>-251</v>
      </c>
      <c r="D47" s="3">
        <f t="shared" si="2"/>
        <v>251</v>
      </c>
      <c r="E47" s="6">
        <f t="shared" si="3"/>
        <v>12.55</v>
      </c>
      <c r="F47" s="6">
        <f t="shared" si="4"/>
        <v>0.92619926199261993</v>
      </c>
      <c r="G47" s="3">
        <f t="shared" si="5"/>
        <v>63001</v>
      </c>
    </row>
    <row r="48" spans="1:7" x14ac:dyDescent="0.25">
      <c r="A48" s="2">
        <v>133</v>
      </c>
      <c r="B48" s="3">
        <f t="shared" si="0"/>
        <v>225</v>
      </c>
      <c r="C48" s="3">
        <f t="shared" si="1"/>
        <v>-92</v>
      </c>
      <c r="D48" s="3">
        <f t="shared" si="2"/>
        <v>92</v>
      </c>
      <c r="E48" s="6">
        <f t="shared" si="3"/>
        <v>0.69172932330827064</v>
      </c>
      <c r="F48" s="6">
        <f t="shared" si="4"/>
        <v>0.40888888888888891</v>
      </c>
      <c r="G48" s="3">
        <f t="shared" si="5"/>
        <v>8464</v>
      </c>
    </row>
    <row r="49" spans="1:7" x14ac:dyDescent="0.25">
      <c r="A49" s="2">
        <v>389</v>
      </c>
      <c r="B49" s="3">
        <f t="shared" si="0"/>
        <v>159</v>
      </c>
      <c r="C49" s="3">
        <f t="shared" si="1"/>
        <v>230</v>
      </c>
      <c r="D49" s="3">
        <f t="shared" si="2"/>
        <v>230</v>
      </c>
      <c r="E49" s="6">
        <f t="shared" si="3"/>
        <v>0.59125964010282772</v>
      </c>
      <c r="F49" s="6">
        <f t="shared" si="4"/>
        <v>1.4465408805031446</v>
      </c>
      <c r="G49" s="3">
        <f t="shared" si="5"/>
        <v>52900</v>
      </c>
    </row>
    <row r="50" spans="1:7" x14ac:dyDescent="0.25">
      <c r="A50" s="2">
        <v>207</v>
      </c>
      <c r="B50" s="3">
        <f t="shared" si="0"/>
        <v>180.66666666666666</v>
      </c>
      <c r="C50" s="3">
        <f t="shared" si="1"/>
        <v>26.333333333333343</v>
      </c>
      <c r="D50" s="3">
        <f t="shared" si="2"/>
        <v>26.333333333333343</v>
      </c>
      <c r="E50" s="6">
        <f t="shared" si="3"/>
        <v>0.1272141706924316</v>
      </c>
      <c r="F50" s="6">
        <f t="shared" si="4"/>
        <v>0.1457564575645757</v>
      </c>
      <c r="G50" s="3">
        <f t="shared" si="5"/>
        <v>693.44444444444491</v>
      </c>
    </row>
    <row r="51" spans="1:7" x14ac:dyDescent="0.25">
      <c r="A51" s="2">
        <v>331</v>
      </c>
      <c r="B51" s="3">
        <f t="shared" si="0"/>
        <v>243</v>
      </c>
      <c r="C51" s="3">
        <f t="shared" si="1"/>
        <v>88</v>
      </c>
      <c r="D51" s="3">
        <f t="shared" si="2"/>
        <v>88</v>
      </c>
      <c r="E51" s="6">
        <f t="shared" si="3"/>
        <v>0.26586102719033233</v>
      </c>
      <c r="F51" s="6">
        <f t="shared" si="4"/>
        <v>0.36213991769547327</v>
      </c>
      <c r="G51" s="3">
        <f t="shared" si="5"/>
        <v>7744</v>
      </c>
    </row>
    <row r="52" spans="1:7" x14ac:dyDescent="0.25">
      <c r="A52" s="2">
        <v>20</v>
      </c>
      <c r="B52" s="3">
        <f t="shared" si="0"/>
        <v>309</v>
      </c>
      <c r="C52" s="3">
        <f t="shared" si="1"/>
        <v>-289</v>
      </c>
      <c r="D52" s="3">
        <f t="shared" si="2"/>
        <v>289</v>
      </c>
      <c r="E52" s="6">
        <f t="shared" si="3"/>
        <v>14.45</v>
      </c>
      <c r="F52" s="6">
        <f t="shared" si="4"/>
        <v>0.93527508090614886</v>
      </c>
      <c r="G52" s="3">
        <f t="shared" si="5"/>
        <v>83521</v>
      </c>
    </row>
    <row r="53" spans="1:7" x14ac:dyDescent="0.25">
      <c r="A53" s="2">
        <v>153</v>
      </c>
      <c r="B53" s="3">
        <f t="shared" si="0"/>
        <v>186</v>
      </c>
      <c r="C53" s="3">
        <f t="shared" si="1"/>
        <v>-33</v>
      </c>
      <c r="D53" s="3">
        <f t="shared" si="2"/>
        <v>33</v>
      </c>
      <c r="E53" s="6">
        <f t="shared" si="3"/>
        <v>0.21568627450980393</v>
      </c>
      <c r="F53" s="6">
        <f t="shared" si="4"/>
        <v>0.17741935483870969</v>
      </c>
      <c r="G53" s="3">
        <f t="shared" si="5"/>
        <v>1089</v>
      </c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Salazar Ramos</dc:creator>
  <cp:lastModifiedBy>YORK ESTEBAN RODRIGUEZ BERTEL</cp:lastModifiedBy>
  <dcterms:created xsi:type="dcterms:W3CDTF">2026-03-12T12:09:07Z</dcterms:created>
  <dcterms:modified xsi:type="dcterms:W3CDTF">2026-03-12T13:36:50Z</dcterms:modified>
</cp:coreProperties>
</file>